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d50e5e8c9b12ddb/Desktop/New folder/"/>
    </mc:Choice>
  </mc:AlternateContent>
  <xr:revisionPtr revIDLastSave="30" documentId="11_D551B7AD33B670F634329AB72F1DDAD582D668F3" xr6:coauthVersionLast="47" xr6:coauthVersionMax="47" xr10:uidLastSave="{9BE1ABB5-BE90-49BD-8556-C03CB5E686BE}"/>
  <bookViews>
    <workbookView xWindow="-120" yWindow="-120" windowWidth="20730" windowHeight="11160" xr2:uid="{00000000-000D-0000-FFFF-FFFF00000000}"/>
  </bookViews>
  <sheets>
    <sheet name="QUAN_LY_HO_SO" sheetId="1" r:id="rId1"/>
    <sheet name="BAO_CAO_TONG_HOP" sheetId="2" r:id="rId2"/>
  </sheets>
  <definedNames>
    <definedName name="_xlnm._FilterDatabase" localSheetId="0" hidden="1">QUAN_LY_HO_SO!$A$2:$AG$2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" l="1"/>
  <c r="B56" i="2"/>
  <c r="B55" i="2"/>
  <c r="B52" i="2"/>
  <c r="B51" i="2"/>
  <c r="B50" i="2"/>
  <c r="B49" i="2"/>
  <c r="B48" i="2"/>
  <c r="B45" i="2"/>
  <c r="B44" i="2"/>
  <c r="B41" i="2"/>
  <c r="B40" i="2"/>
  <c r="B39" i="2"/>
  <c r="B36" i="2"/>
  <c r="B35" i="2"/>
  <c r="B34" i="2"/>
  <c r="B30" i="2"/>
  <c r="B31" i="2" s="1"/>
  <c r="B27" i="2"/>
  <c r="B26" i="2"/>
  <c r="B25" i="2"/>
  <c r="E22" i="2"/>
  <c r="D22" i="2"/>
  <c r="B22" i="2"/>
  <c r="E21" i="2"/>
  <c r="D21" i="2"/>
  <c r="B21" i="2"/>
  <c r="E20" i="2"/>
  <c r="D20" i="2"/>
  <c r="B20" i="2"/>
  <c r="E19" i="2"/>
  <c r="D19" i="2"/>
  <c r="B19" i="2"/>
  <c r="E16" i="2"/>
  <c r="D16" i="2"/>
  <c r="B16" i="2"/>
  <c r="F15" i="2"/>
  <c r="E15" i="2"/>
  <c r="D15" i="2"/>
  <c r="B15" i="2"/>
  <c r="E14" i="2"/>
  <c r="D14" i="2"/>
  <c r="B14" i="2"/>
  <c r="E13" i="2"/>
  <c r="D13" i="2"/>
  <c r="B13" i="2"/>
  <c r="F12" i="2"/>
  <c r="E12" i="2"/>
  <c r="D12" i="2"/>
  <c r="B12" i="2"/>
  <c r="E11" i="2"/>
  <c r="D11" i="2"/>
  <c r="B11" i="2"/>
  <c r="E10" i="2"/>
  <c r="D10" i="2"/>
  <c r="B10" i="2"/>
  <c r="B6" i="2"/>
  <c r="B5" i="2"/>
  <c r="B4" i="2"/>
  <c r="Z9" i="1"/>
  <c r="F11" i="2" s="1"/>
  <c r="W9" i="1"/>
  <c r="Y9" i="1" s="1"/>
  <c r="Z8" i="1"/>
  <c r="W8" i="1"/>
  <c r="Y8" i="1" s="1"/>
  <c r="Z7" i="1"/>
  <c r="W7" i="1"/>
  <c r="Y7" i="1" s="1"/>
  <c r="Z6" i="1"/>
  <c r="F13" i="2" s="1"/>
  <c r="W6" i="1"/>
  <c r="Y6" i="1" s="1"/>
  <c r="Z5" i="1"/>
  <c r="W5" i="1"/>
  <c r="Y5" i="1" s="1"/>
  <c r="Z4" i="1"/>
  <c r="W4" i="1"/>
  <c r="Y4" i="1" s="1"/>
  <c r="Z3" i="1"/>
  <c r="W3" i="1"/>
  <c r="Y3" i="1" s="1"/>
  <c r="F19" i="2" l="1"/>
  <c r="F10" i="2"/>
  <c r="B7" i="2"/>
  <c r="F21" i="2"/>
  <c r="F14" i="2"/>
  <c r="F22" i="2"/>
  <c r="F20" i="2"/>
  <c r="F16" i="2"/>
</calcChain>
</file>

<file path=xl/sharedStrings.xml><?xml version="1.0" encoding="utf-8"?>
<sst xmlns="http://schemas.openxmlformats.org/spreadsheetml/2006/main" count="249" uniqueCount="167">
  <si>
    <t>A</t>
  </si>
  <si>
    <t>STT</t>
  </si>
  <si>
    <t>Tên nhiệm vụ / Cụm / Chuỗi</t>
  </si>
  <si>
    <t>Lĩnh vực</t>
  </si>
  <si>
    <t>Loại hình nhiệm vụ</t>
  </si>
  <si>
    <t>Hình thức triển khai 1</t>
  </si>
  <si>
    <t>Hình thức triển khai 2</t>
  </si>
  <si>
    <t>Hình thức xét</t>
  </si>
  <si>
    <t>Tên tổ chức chủ trì</t>
  </si>
  <si>
    <t>Địa chỉ tổ chức</t>
  </si>
  <si>
    <t>Điện thoại tổ chức</t>
  </si>
  <si>
    <t>Người đại diện pháp luật</t>
  </si>
  <si>
    <t>Chức vụ người đại diện</t>
  </si>
  <si>
    <t>Tài liệu chứng minh tư cách pháp lý (Nền tảng số)</t>
  </si>
  <si>
    <t>Thông tin về tổ chức đề xuất (Nền tảng số)</t>
  </si>
  <si>
    <t>Phân loại Chủ nhiệm</t>
  </si>
  <si>
    <t>Họ tên Chủ nhiệm</t>
  </si>
  <si>
    <t>Học hàm, học vị</t>
  </si>
  <si>
    <t>Đơn vị công tác</t>
  </si>
  <si>
    <t>Email Chủ nhiệm</t>
  </si>
  <si>
    <t>Điện thoại Chủ nhiệm</t>
  </si>
  <si>
    <t>Lý lịch cá nhân (Nền tảng số)</t>
  </si>
  <si>
    <t>Tổng kinh phí đề xuất (VNĐ)</t>
  </si>
  <si>
    <t>Tỷ lệ NSNN (%)</t>
  </si>
  <si>
    <t>Kinh phí NSNN (VNĐ)</t>
  </si>
  <si>
    <t>Tỷ lệ Ngoài NSNN (%)</t>
  </si>
  <si>
    <t>Kinh phí Ngoài NSNN (VNĐ)</t>
  </si>
  <si>
    <t>Thời gian thực hiện (Tháng)</t>
  </si>
  <si>
    <t>Trạng thái hồ sơ</t>
  </si>
  <si>
    <t>Nghiên cứu ứng dụng AI trong dự báo thời tiết</t>
  </si>
  <si>
    <t>Khoa học kỹ thuật và công nghệ</t>
  </si>
  <si>
    <t>Phát triển công nghệ</t>
  </si>
  <si>
    <t>Nhiệm vụ</t>
  </si>
  <si>
    <t>Thực hiện theo hình thức liên kết</t>
  </si>
  <si>
    <t>Đặt hàng</t>
  </si>
  <si>
    <t>Viện Công nghệ Thông tin</t>
  </si>
  <si>
    <t>123 Đường ABC, Đà Nẵng</t>
  </si>
  <si>
    <t>02363123456</t>
  </si>
  <si>
    <t>Nguyễn Văn A</t>
  </si>
  <si>
    <t>Viện trưởng</t>
  </si>
  <si>
    <t>Đã cập nhật</t>
  </si>
  <si>
    <t>Nhà khoa học trẻ tài năng</t>
  </si>
  <si>
    <t>Trần Văn B</t>
  </si>
  <si>
    <t>Giáo sư</t>
  </si>
  <si>
    <t>Khoa CNTT</t>
  </si>
  <si>
    <t>tranvanb@iti.vd</t>
  </si>
  <si>
    <t>0905123456</t>
  </si>
  <si>
    <t>Đang xét</t>
  </si>
  <si>
    <t>Số hóa và bảo tồn di sản văn hóa làng cổ Lộc Yên</t>
  </si>
  <si>
    <t>Công nghệ chiến lược</t>
  </si>
  <si>
    <t>Nghiên cứu ứng dụng</t>
  </si>
  <si>
    <t>Cụm nhiệm vụ</t>
  </si>
  <si>
    <t>Thực hiện theo hình thức hợp tác công tư</t>
  </si>
  <si>
    <t>Tài trợ</t>
  </si>
  <si>
    <t>Trường Đại học Bách khoa</t>
  </si>
  <si>
    <t>456 Đường XYZ, Đà Nẵng</t>
  </si>
  <si>
    <t>02363654321</t>
  </si>
  <si>
    <t>Lê Thị C</t>
  </si>
  <si>
    <t>Hiệu trưởng</t>
  </si>
  <si>
    <t>Chưa cập nhật</t>
  </si>
  <si>
    <t>Không thuộc hai trường hợp trên</t>
  </si>
  <si>
    <t>Phạm Văn D</t>
  </si>
  <si>
    <t>Thạc sĩ</t>
  </si>
  <si>
    <t>Khoa Kiến trúc</t>
  </si>
  <si>
    <t>phamvand@dut.udn.vn</t>
  </si>
  <si>
    <t>0914987654</t>
  </si>
  <si>
    <t>Đang thực hiện</t>
  </si>
  <si>
    <t>Khoa học xã hội</t>
  </si>
  <si>
    <t>Phát triển giải pháp xã hội</t>
  </si>
  <si>
    <t>Chuỗi nhiệm vụ</t>
  </si>
  <si>
    <t>Không thuộc 02 trường hợp trên</t>
  </si>
  <si>
    <t>Cử nhân</t>
  </si>
  <si>
    <t>Công trình dự án khuyến nông</t>
  </si>
  <si>
    <t>Khoa học nông nghiệp</t>
  </si>
  <si>
    <t>Trung tâm khuyến nông</t>
  </si>
  <si>
    <t>Thành phố Hà Tĩnh</t>
  </si>
  <si>
    <t>Nguyễn Thị N</t>
  </si>
  <si>
    <t>Phó Giám đốc</t>
  </si>
  <si>
    <t>Nhân tài về khoa học, công nghệ và đổi mới sáng tạo</t>
  </si>
  <si>
    <t>Nguyễn Hồ M</t>
  </si>
  <si>
    <t>Phó Giáo sư</t>
  </si>
  <si>
    <t>Cục B</t>
  </si>
  <si>
    <t>0326523545</t>
  </si>
  <si>
    <t>Nghiên cứu về loài B</t>
  </si>
  <si>
    <t xml:space="preserve">Phát triển giải pháp xã hội </t>
  </si>
  <si>
    <t>Viện nghiên cứu đại học</t>
  </si>
  <si>
    <t>Hà Tĩnh</t>
  </si>
  <si>
    <t>123</t>
  </si>
  <si>
    <t>Giám đốc</t>
  </si>
  <si>
    <t>NGuyễn Văn B</t>
  </si>
  <si>
    <t>35678</t>
  </si>
  <si>
    <t>Nghiên cứu về đại học</t>
  </si>
  <si>
    <t>Khoa học tự nhiên</t>
  </si>
  <si>
    <t>Nghiên cứu cơ bản</t>
  </si>
  <si>
    <t>Viện nghiên cứu Đại học</t>
  </si>
  <si>
    <t>098765432</t>
  </si>
  <si>
    <t>Nguyễn Văn B</t>
  </si>
  <si>
    <t>a@gmail.com</t>
  </si>
  <si>
    <t>0325698547</t>
  </si>
  <si>
    <t>Ứng dụng công nghệ trong nghiên cứu</t>
  </si>
  <si>
    <t>Trung tâm ứng dụng chuyển giao công nghệ</t>
  </si>
  <si>
    <t>Hà Nội</t>
  </si>
  <si>
    <t>Hồ Văn C</t>
  </si>
  <si>
    <t>Nhà khoa học trẻ tài năng, kỹ sư trẻ tài năng</t>
  </si>
  <si>
    <t>Hồ Thế A</t>
  </si>
  <si>
    <t>Trung tâm ứng dụng chuyển giao Công nghệ</t>
  </si>
  <si>
    <t>0326521458</t>
  </si>
  <si>
    <t>Nghiên cứu ứng dụng AI</t>
  </si>
  <si>
    <t>Sở Tài nguyên và Môi trường</t>
  </si>
  <si>
    <t>Phan Văn A</t>
  </si>
  <si>
    <t>Lê Văn C</t>
  </si>
  <si>
    <t>0326598457</t>
  </si>
  <si>
    <t>BÁO CÁO TỔNG HỢP HỒ SƠ ĐĂNG KÝ CHỦ TRÌ NHIỆM VỤ KH&amp;CN</t>
  </si>
  <si>
    <t>I. TỔNG QUAN HỒ SƠ &amp; KINH PHÍ</t>
  </si>
  <si>
    <t>1. Tổng số hồ sơ tiếp nhận</t>
  </si>
  <si>
    <t>2. Tổng kinh phí đề xuất</t>
  </si>
  <si>
    <t>3. Tổng kinh phí Ngân sách nhà nước</t>
  </si>
  <si>
    <t>4. Tổng kinh phí Ngoài ngân sách nhà nước</t>
  </si>
  <si>
    <t>II. THỐNG KÊ THEO LĨNH VỰC NGHIÊN CỨU</t>
  </si>
  <si>
    <t>TỔNG KINH PHÍ</t>
  </si>
  <si>
    <t>KINH PHÍ NSNN TƯƠNG ỨNG</t>
  </si>
  <si>
    <t>KINH PHÍ NGOÀI NSNN TƯƠNG ỨNG</t>
  </si>
  <si>
    <t>1. Khoa học tự nhiên</t>
  </si>
  <si>
    <t>2. Khoa học kỹ thuật và công nghệ</t>
  </si>
  <si>
    <t>3. Khoa học y, dược</t>
  </si>
  <si>
    <t>4. Khoa học nông nghiệp</t>
  </si>
  <si>
    <t>5. Khoa học xã hội</t>
  </si>
  <si>
    <t>6. Khoa học nhân văn</t>
  </si>
  <si>
    <t>7. Công nghệ chiến lược</t>
  </si>
  <si>
    <t>III. THỐNG KÊ THEO LOẠI HÌNH NHIỆM VỤ</t>
  </si>
  <si>
    <t>1. Nghiên cứu cơ bản</t>
  </si>
  <si>
    <t>2. Nghiên cứu ứng dụng</t>
  </si>
  <si>
    <t>3. Phát triển công nghệ</t>
  </si>
  <si>
    <t xml:space="preserve">4. Phát triển giải pháp xã hội </t>
  </si>
  <si>
    <t>IV. PHÂN LOẠI CHỦ NHIỆM NHIỆM VỤ</t>
  </si>
  <si>
    <t>1. Nhân tài về KH, CN &amp; ĐMST</t>
  </si>
  <si>
    <t>2. Nhà khoa học trẻ / Kỹ sư trẻ tài năng</t>
  </si>
  <si>
    <t>3. Đối tượng khác</t>
  </si>
  <si>
    <t>V. TÌNH TRẠNG CẬP NHẬT NỀN TẢNG SỐ QUỐC GIA</t>
  </si>
  <si>
    <t>1. Hồ sơ đã cập nhật hoàn thiện (Cả 3 mục)</t>
  </si>
  <si>
    <t>2. Hồ sơ chưa cập nhật đủ thông tin</t>
  </si>
  <si>
    <t>VI. HÌNH THỨC TRIỂN KHAI 1</t>
  </si>
  <si>
    <t>1. Nhiệm vụ</t>
  </si>
  <si>
    <t>2. Cụm nhiệm vụ</t>
  </si>
  <si>
    <t>3. Chuỗi nhiệm vụ</t>
  </si>
  <si>
    <t>VII. HÌNH THỨC TRIỂN KHAI 2</t>
  </si>
  <si>
    <t>1. Thực hiện theo hình thức liên kết</t>
  </si>
  <si>
    <t>2. Thực hiện theo hình thức hợp tác công tư</t>
  </si>
  <si>
    <t>3. Không thuộc 02 trường hợp trên</t>
  </si>
  <si>
    <t>VIII. HÌNH THỨC XÉT</t>
  </si>
  <si>
    <t>1. Đặt hàng</t>
  </si>
  <si>
    <t>2. Tài trợ</t>
  </si>
  <si>
    <t>IX. TRÌNH ĐỘ CHỦ NHIỆM ĐỀ TÀI</t>
  </si>
  <si>
    <t>1. Giáo sư</t>
  </si>
  <si>
    <t>2. Phó Giáo sư</t>
  </si>
  <si>
    <t>3. Tiến sĩ</t>
  </si>
  <si>
    <t>4. Thạc sĩ</t>
  </si>
  <si>
    <t>5. Cử nhân</t>
  </si>
  <si>
    <t>X. TRẠNG THÁI HỒ SƠ</t>
  </si>
  <si>
    <t>1. Đang xét</t>
  </si>
  <si>
    <t>2. Đang thực hiện</t>
  </si>
  <si>
    <t>3. Đã hoàn thành</t>
  </si>
  <si>
    <t>Tổ chức phối hợp, đồng tài trợ</t>
  </si>
  <si>
    <t>Nội dung cam kết phối hợp/đồng tài trợ</t>
  </si>
  <si>
    <t>Số lần gia hạn hợp đồng</t>
  </si>
  <si>
    <t>Thời gian bắt đầu</t>
  </si>
  <si>
    <t>Thời gian kết thúc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</si>
</sst>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&quot; hồ sơ&quot;"/>
    <numFmt numFmtId="165" formatCode="#,##0&quot; VNĐ&quot;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4E7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4"/>
      <color rgb="FF1F4E78"/>
      <name val="Arial"/>
      <family val="2"/>
    </font>
    <font>
      <b/>
      <sz val="10"/>
      <color rgb="FF1F4E7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3">
    <xf numFmtId="0" fontId="0" fillId="0" borderId="0"/>
    <xf numFmtId="43" fontId="6" fillId="0" borderId="0"/>
    <xf numFmtId="9" fontId="6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164" fontId="3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/>
    <xf numFmtId="165" fontId="9" fillId="0" borderId="1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9" fontId="6" fillId="0" borderId="0" xfId="2"/>
    <xf numFmtId="0" fontId="10" fillId="0" borderId="2" xfId="0" applyFont="1" applyBorder="1" applyAlignment="1">
      <alignment horizontal="center" vertical="center" wrapText="1"/>
    </xf>
    <xf numFmtId="0" fontId="0" fillId="0" borderId="2" xfId="0" applyBorder="1"/>
    <xf numFmtId="0" fontId="4" fillId="3" borderId="0" xfId="0" applyFont="1" applyFill="1" applyAlignment="1">
      <alignment horizontal="left" vertical="center"/>
    </xf>
    <xf numFmtId="0" fontId="0" fillId="0" borderId="0" xfId="0"/>
    <xf numFmtId="0" fontId="1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"/>
  <sheetViews>
    <sheetView tabSelected="1" zoomScaleNormal="100"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F3" sqref="AF3"/>
    </sheetView>
  </sheetViews>
  <sheetFormatPr defaultRowHeight="43.5" customHeight="1" x14ac:dyDescent="0.25"/>
  <cols>
    <col min="1" max="1" width="7.5703125" style="18" customWidth="1"/>
    <col min="2" max="2" width="32.28515625" style="18" customWidth="1"/>
    <col min="3" max="3" width="28.140625" style="18" bestFit="1" customWidth="1"/>
    <col min="4" max="4" width="23.85546875" style="18" customWidth="1"/>
    <col min="5" max="5" width="12.28515625" style="18" customWidth="1"/>
    <col min="6" max="6" width="17.140625" style="18" customWidth="1"/>
    <col min="7" max="7" width="11.140625" style="18" customWidth="1"/>
    <col min="8" max="8" width="28" style="18" customWidth="1"/>
    <col min="9" max="9" width="26" style="18" customWidth="1"/>
    <col min="10" max="10" width="22" style="18" customWidth="1"/>
    <col min="11" max="11" width="20.28515625" style="18" customWidth="1"/>
    <col min="12" max="12" width="13.28515625" style="18" customWidth="1"/>
    <col min="13" max="13" width="23" style="18" customWidth="1"/>
    <col min="14" max="14" width="24.140625" style="18" customWidth="1"/>
    <col min="15" max="15" width="21.85546875" style="18" customWidth="1"/>
    <col min="16" max="16" width="17.28515625" style="18" customWidth="1"/>
    <col min="17" max="17" width="10.85546875" style="18" customWidth="1"/>
    <col min="18" max="18" width="12.42578125" style="18" customWidth="1"/>
    <col min="19" max="19" width="20" style="18" customWidth="1"/>
    <col min="20" max="20" width="24" style="27" customWidth="1"/>
    <col min="21" max="21" width="15.85546875" style="18" customWidth="1"/>
    <col min="22" max="22" width="13.85546875" style="23" customWidth="1"/>
    <col min="23" max="23" width="12.5703125" style="18" customWidth="1"/>
    <col min="24" max="24" width="15.85546875" style="18" customWidth="1"/>
    <col min="25" max="25" width="13.7109375" style="18" customWidth="1"/>
    <col min="26" max="26" width="22" style="18" customWidth="1"/>
    <col min="27" max="32" width="12" style="18" customWidth="1"/>
    <col min="33" max="33" width="20" style="18" customWidth="1"/>
    <col min="34" max="34" width="13.85546875" style="18" customWidth="1"/>
    <col min="35" max="35" width="18" style="18" customWidth="1"/>
    <col min="36" max="36" width="13.85546875" style="18" customWidth="1"/>
    <col min="37" max="16384" width="9.140625" style="18"/>
  </cols>
  <sheetData>
    <row r="1" spans="1:36" ht="17.2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 spans="1:36" ht="43.5" customHeight="1" x14ac:dyDescent="0.25">
      <c r="A2" s="7" t="s">
        <v>1</v>
      </c>
      <c r="B2" s="7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7" t="s">
        <v>13</v>
      </c>
      <c r="N2" s="7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25" t="s">
        <v>20</v>
      </c>
      <c r="U2" s="1" t="s">
        <v>21</v>
      </c>
      <c r="V2" s="8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165</v>
      </c>
      <c r="AC2" s="1" t="s">
        <v>164</v>
      </c>
      <c r="AD2" s="1"/>
      <c r="AE2" s="1"/>
      <c r="AF2" s="1" t="s">
        <v>166</v>
      </c>
      <c r="AG2" s="1" t="s">
        <v>28</v>
      </c>
      <c r="AH2" s="1" t="s">
        <v>162</v>
      </c>
      <c r="AI2" s="1" t="s">
        <v>163</v>
      </c>
      <c r="AJ2" s="1" t="s">
        <v>28</v>
      </c>
    </row>
    <row r="3" spans="1:36" ht="43.5" customHeight="1" x14ac:dyDescent="0.25">
      <c r="A3" s="2">
        <v>1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40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45</v>
      </c>
      <c r="T3" s="26" t="s">
        <v>46</v>
      </c>
      <c r="U3" s="2" t="s">
        <v>40</v>
      </c>
      <c r="V3" s="19">
        <v>500000000</v>
      </c>
      <c r="W3" s="20">
        <f t="shared" ref="W3:W9" si="0">X3/V3</f>
        <v>0.4</v>
      </c>
      <c r="X3" s="21">
        <v>200000000</v>
      </c>
      <c r="Y3" s="22">
        <f t="shared" ref="Y3:Y9" si="1">100%-W3</f>
        <v>0.6</v>
      </c>
      <c r="Z3" s="21">
        <f t="shared" ref="Z3:Z9" si="2">V3-X3</f>
        <v>300000000</v>
      </c>
      <c r="AA3" s="2">
        <v>24</v>
      </c>
      <c r="AB3" s="2"/>
      <c r="AC3" s="2"/>
      <c r="AD3" s="2"/>
      <c r="AE3" s="2"/>
      <c r="AF3" s="2"/>
      <c r="AG3" s="10" t="s">
        <v>47</v>
      </c>
    </row>
    <row r="4" spans="1:36" ht="43.5" customHeight="1" x14ac:dyDescent="0.25">
      <c r="A4" s="2">
        <v>2</v>
      </c>
      <c r="B4" s="2" t="s">
        <v>48</v>
      </c>
      <c r="C4" s="2" t="s">
        <v>49</v>
      </c>
      <c r="D4" s="2" t="s">
        <v>50</v>
      </c>
      <c r="E4" s="2" t="s">
        <v>51</v>
      </c>
      <c r="F4" s="10" t="s">
        <v>52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57</v>
      </c>
      <c r="L4" s="2" t="s">
        <v>58</v>
      </c>
      <c r="M4" s="2" t="s">
        <v>40</v>
      </c>
      <c r="N4" s="2" t="s">
        <v>59</v>
      </c>
      <c r="O4" s="2" t="s">
        <v>60</v>
      </c>
      <c r="P4" s="2" t="s">
        <v>61</v>
      </c>
      <c r="Q4" s="2" t="s">
        <v>62</v>
      </c>
      <c r="R4" s="2" t="s">
        <v>63</v>
      </c>
      <c r="S4" s="2" t="s">
        <v>64</v>
      </c>
      <c r="T4" s="26" t="s">
        <v>65</v>
      </c>
      <c r="U4" s="2" t="s">
        <v>40</v>
      </c>
      <c r="V4" s="19">
        <v>300000000</v>
      </c>
      <c r="W4" s="20">
        <f t="shared" si="0"/>
        <v>0.33333333333333331</v>
      </c>
      <c r="X4" s="21">
        <v>100000000</v>
      </c>
      <c r="Y4" s="22">
        <f t="shared" si="1"/>
        <v>0.66666666666666674</v>
      </c>
      <c r="Z4" s="21">
        <f t="shared" si="2"/>
        <v>200000000</v>
      </c>
      <c r="AA4" s="2">
        <v>12</v>
      </c>
      <c r="AB4" s="2"/>
      <c r="AC4" s="2"/>
      <c r="AD4" s="2"/>
      <c r="AE4" s="2"/>
      <c r="AF4" s="2"/>
      <c r="AG4" s="2" t="s">
        <v>66</v>
      </c>
    </row>
    <row r="5" spans="1:36" ht="43.5" customHeight="1" x14ac:dyDescent="0.25">
      <c r="A5" s="2">
        <v>3</v>
      </c>
      <c r="B5" s="2" t="s">
        <v>48</v>
      </c>
      <c r="C5" s="2" t="s">
        <v>67</v>
      </c>
      <c r="D5" s="2" t="s">
        <v>68</v>
      </c>
      <c r="E5" s="2" t="s">
        <v>69</v>
      </c>
      <c r="F5" s="10" t="s">
        <v>70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40</v>
      </c>
      <c r="N5" s="2" t="s">
        <v>59</v>
      </c>
      <c r="O5" s="2" t="s">
        <v>60</v>
      </c>
      <c r="P5" s="2" t="s">
        <v>61</v>
      </c>
      <c r="Q5" s="2" t="s">
        <v>71</v>
      </c>
      <c r="R5" s="2" t="s">
        <v>63</v>
      </c>
      <c r="S5" s="2" t="s">
        <v>64</v>
      </c>
      <c r="T5" s="26" t="s">
        <v>65</v>
      </c>
      <c r="U5" s="21" t="s">
        <v>59</v>
      </c>
      <c r="V5" s="23">
        <v>500000000</v>
      </c>
      <c r="W5" s="20">
        <f t="shared" si="0"/>
        <v>0.6</v>
      </c>
      <c r="X5" s="21">
        <v>300000000</v>
      </c>
      <c r="Y5" s="22">
        <f t="shared" si="1"/>
        <v>0.4</v>
      </c>
      <c r="Z5" s="21">
        <f t="shared" si="2"/>
        <v>200000000</v>
      </c>
      <c r="AA5" s="2">
        <v>12</v>
      </c>
      <c r="AB5" s="2"/>
      <c r="AC5" s="2"/>
      <c r="AD5" s="2"/>
      <c r="AE5" s="2"/>
      <c r="AF5" s="2"/>
      <c r="AG5" s="2" t="s">
        <v>47</v>
      </c>
    </row>
    <row r="6" spans="1:36" ht="43.5" customHeight="1" x14ac:dyDescent="0.25">
      <c r="A6" s="18">
        <v>4</v>
      </c>
      <c r="B6" s="18" t="s">
        <v>72</v>
      </c>
      <c r="C6" s="18" t="s">
        <v>73</v>
      </c>
      <c r="D6" s="18" t="s">
        <v>50</v>
      </c>
      <c r="E6" s="18" t="s">
        <v>32</v>
      </c>
      <c r="F6" s="18" t="s">
        <v>52</v>
      </c>
      <c r="G6" s="18" t="s">
        <v>34</v>
      </c>
      <c r="H6" s="18" t="s">
        <v>74</v>
      </c>
      <c r="I6" s="18" t="s">
        <v>75</v>
      </c>
      <c r="J6" s="18">
        <v>326598754</v>
      </c>
      <c r="K6" s="18" t="s">
        <v>76</v>
      </c>
      <c r="L6" s="18" t="s">
        <v>77</v>
      </c>
      <c r="M6" s="18" t="s">
        <v>40</v>
      </c>
      <c r="N6" s="18" t="s">
        <v>40</v>
      </c>
      <c r="O6" s="18" t="s">
        <v>78</v>
      </c>
      <c r="P6" s="18" t="s">
        <v>79</v>
      </c>
      <c r="Q6" s="18" t="s">
        <v>80</v>
      </c>
      <c r="R6" s="18" t="s">
        <v>81</v>
      </c>
      <c r="T6" s="27" t="s">
        <v>82</v>
      </c>
      <c r="U6" s="18" t="s">
        <v>40</v>
      </c>
      <c r="V6" s="23">
        <v>1000000000</v>
      </c>
      <c r="W6" s="20">
        <f t="shared" si="0"/>
        <v>0.8</v>
      </c>
      <c r="X6" s="18">
        <v>800000000</v>
      </c>
      <c r="Y6" s="22">
        <f t="shared" si="1"/>
        <v>0.19999999999999996</v>
      </c>
      <c r="Z6" s="21">
        <f t="shared" si="2"/>
        <v>200000000</v>
      </c>
      <c r="AA6" s="18">
        <v>18</v>
      </c>
      <c r="AG6" s="18" t="s">
        <v>66</v>
      </c>
    </row>
    <row r="7" spans="1:36" ht="43.5" customHeight="1" x14ac:dyDescent="0.25">
      <c r="A7" s="24">
        <v>5</v>
      </c>
      <c r="B7" s="24" t="s">
        <v>83</v>
      </c>
      <c r="C7" s="24" t="s">
        <v>73</v>
      </c>
      <c r="D7" s="24" t="s">
        <v>84</v>
      </c>
      <c r="E7" s="24" t="s">
        <v>32</v>
      </c>
      <c r="F7" s="24" t="s">
        <v>33</v>
      </c>
      <c r="G7" s="24" t="s">
        <v>34</v>
      </c>
      <c r="H7" s="24" t="s">
        <v>85</v>
      </c>
      <c r="I7" s="24" t="s">
        <v>86</v>
      </c>
      <c r="J7" s="24" t="s">
        <v>87</v>
      </c>
      <c r="K7" s="24" t="s">
        <v>38</v>
      </c>
      <c r="L7" s="24" t="s">
        <v>88</v>
      </c>
      <c r="M7" s="24" t="s">
        <v>40</v>
      </c>
      <c r="N7" s="24" t="s">
        <v>40</v>
      </c>
      <c r="O7" s="24" t="s">
        <v>78</v>
      </c>
      <c r="P7" s="24" t="s">
        <v>89</v>
      </c>
      <c r="Q7" s="24" t="s">
        <v>43</v>
      </c>
      <c r="R7" s="24" t="s">
        <v>85</v>
      </c>
      <c r="T7" s="28" t="s">
        <v>90</v>
      </c>
      <c r="U7" s="24" t="s">
        <v>40</v>
      </c>
      <c r="V7" s="24">
        <v>1200000000</v>
      </c>
      <c r="W7" s="20">
        <f t="shared" si="0"/>
        <v>0.5</v>
      </c>
      <c r="X7" s="24">
        <v>600000000</v>
      </c>
      <c r="Y7" s="22">
        <f t="shared" si="1"/>
        <v>0.5</v>
      </c>
      <c r="Z7" s="21">
        <f t="shared" si="2"/>
        <v>600000000</v>
      </c>
      <c r="AA7" s="24">
        <v>12</v>
      </c>
      <c r="AB7" s="24"/>
      <c r="AC7" s="24"/>
      <c r="AD7" s="24"/>
      <c r="AE7" s="24"/>
      <c r="AF7" s="24"/>
      <c r="AG7" s="29" t="s">
        <v>47</v>
      </c>
    </row>
    <row r="8" spans="1:36" ht="43.5" customHeight="1" x14ac:dyDescent="0.25">
      <c r="A8" s="24">
        <v>6</v>
      </c>
      <c r="B8" s="24" t="s">
        <v>91</v>
      </c>
      <c r="C8" s="24" t="s">
        <v>92</v>
      </c>
      <c r="D8" s="24" t="s">
        <v>93</v>
      </c>
      <c r="E8" s="24" t="s">
        <v>32</v>
      </c>
      <c r="F8" s="24" t="s">
        <v>33</v>
      </c>
      <c r="G8" s="24" t="s">
        <v>34</v>
      </c>
      <c r="H8" s="24" t="s">
        <v>94</v>
      </c>
      <c r="I8" s="24" t="s">
        <v>75</v>
      </c>
      <c r="J8" s="24" t="s">
        <v>95</v>
      </c>
      <c r="K8" s="24" t="s">
        <v>38</v>
      </c>
      <c r="L8" s="24" t="s">
        <v>88</v>
      </c>
      <c r="M8" s="24" t="s">
        <v>40</v>
      </c>
      <c r="N8" s="24" t="s">
        <v>40</v>
      </c>
      <c r="O8" s="24" t="s">
        <v>78</v>
      </c>
      <c r="P8" s="24" t="s">
        <v>96</v>
      </c>
      <c r="Q8" s="24" t="s">
        <v>43</v>
      </c>
      <c r="R8" s="24" t="s">
        <v>94</v>
      </c>
      <c r="S8" s="24" t="s">
        <v>97</v>
      </c>
      <c r="T8" s="28" t="s">
        <v>98</v>
      </c>
      <c r="U8" s="24" t="s">
        <v>40</v>
      </c>
      <c r="V8" s="24">
        <v>1200000000</v>
      </c>
      <c r="W8" s="20">
        <f t="shared" si="0"/>
        <v>0.5</v>
      </c>
      <c r="X8" s="24">
        <v>600000000</v>
      </c>
      <c r="Y8" s="22">
        <f t="shared" si="1"/>
        <v>0.5</v>
      </c>
      <c r="Z8" s="21">
        <f t="shared" si="2"/>
        <v>600000000</v>
      </c>
      <c r="AA8" s="24">
        <v>24</v>
      </c>
      <c r="AB8" s="24"/>
      <c r="AC8" s="24"/>
      <c r="AD8" s="24"/>
      <c r="AE8" s="24"/>
      <c r="AF8" s="24"/>
      <c r="AG8" s="29" t="s">
        <v>47</v>
      </c>
      <c r="AH8" s="24"/>
    </row>
    <row r="9" spans="1:36" ht="43.5" customHeight="1" x14ac:dyDescent="0.25">
      <c r="A9" s="18">
        <v>7</v>
      </c>
      <c r="B9" s="18" t="s">
        <v>99</v>
      </c>
      <c r="C9" s="18" t="s">
        <v>30</v>
      </c>
      <c r="D9" s="18" t="s">
        <v>31</v>
      </c>
      <c r="E9" s="18" t="s">
        <v>69</v>
      </c>
      <c r="F9" s="18" t="s">
        <v>33</v>
      </c>
      <c r="G9" s="18" t="s">
        <v>53</v>
      </c>
      <c r="H9" s="18" t="s">
        <v>100</v>
      </c>
      <c r="I9" s="18" t="s">
        <v>101</v>
      </c>
      <c r="J9" s="18">
        <v>325698541</v>
      </c>
      <c r="K9" s="18" t="s">
        <v>102</v>
      </c>
      <c r="L9" s="18" t="s">
        <v>77</v>
      </c>
      <c r="M9" s="18" t="s">
        <v>40</v>
      </c>
      <c r="N9" s="18" t="s">
        <v>40</v>
      </c>
      <c r="O9" s="18" t="s">
        <v>103</v>
      </c>
      <c r="P9" s="18" t="s">
        <v>104</v>
      </c>
      <c r="Q9" s="18" t="s">
        <v>80</v>
      </c>
      <c r="R9" s="18" t="s">
        <v>105</v>
      </c>
      <c r="T9" s="27" t="s">
        <v>106</v>
      </c>
      <c r="U9" s="18" t="s">
        <v>40</v>
      </c>
      <c r="V9" s="23">
        <v>1500000000</v>
      </c>
      <c r="W9" s="20">
        <f t="shared" si="0"/>
        <v>0.8</v>
      </c>
      <c r="X9" s="18">
        <v>1200000000</v>
      </c>
      <c r="Y9" s="22">
        <f t="shared" si="1"/>
        <v>0.19999999999999996</v>
      </c>
      <c r="Z9" s="21">
        <f t="shared" si="2"/>
        <v>300000000</v>
      </c>
      <c r="AA9" s="18">
        <v>24</v>
      </c>
      <c r="AG9" s="18" t="s">
        <v>66</v>
      </c>
    </row>
    <row r="10" spans="1:36" ht="15" x14ac:dyDescent="0.25">
      <c r="A10">
        <v>8</v>
      </c>
      <c r="B10" t="s">
        <v>107</v>
      </c>
      <c r="C10" t="s">
        <v>30</v>
      </c>
      <c r="D10" t="s">
        <v>50</v>
      </c>
      <c r="E10" t="s">
        <v>32</v>
      </c>
      <c r="F10" t="s">
        <v>70</v>
      </c>
      <c r="G10" t="s">
        <v>34</v>
      </c>
      <c r="H10" t="s">
        <v>108</v>
      </c>
      <c r="I10" t="s">
        <v>75</v>
      </c>
      <c r="J10"/>
      <c r="K10" t="s">
        <v>109</v>
      </c>
      <c r="L10" t="s">
        <v>109</v>
      </c>
      <c r="M10" t="s">
        <v>40</v>
      </c>
      <c r="N10" t="s">
        <v>40</v>
      </c>
      <c r="O10" t="s">
        <v>60</v>
      </c>
      <c r="P10" t="s">
        <v>110</v>
      </c>
      <c r="Q10" t="s">
        <v>62</v>
      </c>
      <c r="R10" t="s">
        <v>108</v>
      </c>
      <c r="S10"/>
      <c r="T10" t="s">
        <v>111</v>
      </c>
      <c r="U10" t="s">
        <v>40</v>
      </c>
      <c r="V10">
        <v>600000000</v>
      </c>
      <c r="W10" s="31">
        <v>0.66666666666666663</v>
      </c>
      <c r="X10">
        <v>400000000</v>
      </c>
      <c r="Y10" s="31">
        <v>0.33333333333333331</v>
      </c>
      <c r="Z10">
        <v>200000000</v>
      </c>
      <c r="AA10">
        <v>36</v>
      </c>
      <c r="AB10"/>
      <c r="AC10"/>
      <c r="AD10"/>
      <c r="AE10"/>
      <c r="AF10"/>
      <c r="AG10" s="30" t="s">
        <v>47</v>
      </c>
      <c r="AH10"/>
    </row>
  </sheetData>
  <autoFilter ref="A2:AG2" xr:uid="{00000000-0009-0000-0000-000000000000}"/>
  <mergeCells count="1">
    <mergeCell ref="A1:AG1"/>
  </mergeCells>
  <conditionalFormatting sqref="A2:XFD1048576">
    <cfRule type="expression" priority="2">
      <formula>MOD(ROW(),2)=0</formula>
    </cfRule>
  </conditionalFormatting>
  <conditionalFormatting sqref="A3:XFD1048576">
    <cfRule type="expression" dxfId="0" priority="1">
      <formula>MOD(ROW(),2)=0</formula>
    </cfRule>
  </conditionalFormatting>
  <dataValidations count="11">
    <dataValidation type="list" allowBlank="1" showInputMessage="1" showErrorMessage="1" sqref="D2 D7:D1048576" xr:uid="{00000000-0002-0000-0000-000000000000}">
      <formula1>"Nghiên cứu cơ bản,Phát triển công nghệ,Nghiên cứu ứng dụng,Phát triển giải pháp xã hội "</formula1>
    </dataValidation>
    <dataValidation type="list" allowBlank="1" showInputMessage="1" showErrorMessage="1" error="Dữ liệu không hợp lệ! Vui lòng chọn trong danh sách" sqref="O3:O1048576 C3:C1048576" xr:uid="{00000000-0002-0000-0000-000001000000}"/>
    <dataValidation type="list" allowBlank="1" showInputMessage="1" showErrorMessage="1" error="Dữ liệu không hợp lệ! Vui lòng chọn trong danh sách" sqref="Q3:Q1048576" xr:uid="{00000000-0002-0000-0000-000002000000}">
      <formula1>"Giáo sư,Phó Giáo sư,Tiến sĩ,Thạc sĩ,Cử nhân"</formula1>
    </dataValidation>
    <dataValidation type="list" allowBlank="1" showErrorMessage="1" error="Dữ liệu không hợp lệ! Vui lòng chọn trong danh sách" sqref="AG3:AG1048576" xr:uid="{00000000-0002-0000-0000-000003000000}">
      <formula1>"Đang xét,Đang thực hiện,Đã hoàn thành"</formula1>
    </dataValidation>
    <dataValidation type="list" allowBlank="1" showInputMessage="1" showErrorMessage="1" errorTitle="CẢNH BÁO" error="Dữ liệu không hợp lệ! Vui lòng chọn trong danh sách" sqref="D6" xr:uid="{00000000-0002-0000-0000-000004000000}">
      <formula1>"Nghiên cứu cơ bản,Phát triển công nghệ,Nghiên cứu ứng dụng,Phát triển giải pháp xã hội "</formula1>
    </dataValidation>
    <dataValidation type="list" allowBlank="1" showErrorMessage="1" error="Dữ liệu không hợp lệ! Vui lòng chọn trong danh sách" sqref="U3:U1048576" xr:uid="{00000000-0002-0000-0000-000005000000}">
      <formula1>"Đã cập nhật,Chưa cập nhật"</formula1>
    </dataValidation>
    <dataValidation type="list" allowBlank="1" showInputMessage="1" showErrorMessage="1" error="Dữ liệu không hợp lệ! Vui lòng chọn trong danh sách" sqref="D3:D5" xr:uid="{00000000-0002-0000-0000-000006000000}">
      <formula1>"Nghiên cứu cơ bản,Phát triển công nghệ,Nghiên cứu ứng dụng,Phát triển giải pháp xã hội "</formula1>
    </dataValidation>
    <dataValidation type="list" allowBlank="1" showInputMessage="1" showErrorMessage="1" error="Dữ liệu không hợp lệ! Vui lòng chọn trong danh sách" sqref="E3:E1048576" xr:uid="{00000000-0002-0000-0000-000007000000}">
      <formula1>"Nhiệm vụ,Cụm nhiệm vụ,Chuỗi nhiệm vụ"</formula1>
    </dataValidation>
    <dataValidation type="list" allowBlank="1" showInputMessage="1" showErrorMessage="1" error="Dữ liệu không hợp lệ! Vui lòng chọn trong danh sách" sqref="F3:F1048576" xr:uid="{00000000-0002-0000-0000-000008000000}">
      <formula1>"Thực hiện theo hình thức liên kết,Thực hiện theo hình thức hợp tác công tư,Không thuộc 02 trường hợp trên"</formula1>
    </dataValidation>
    <dataValidation type="list" allowBlank="1" showInputMessage="1" showErrorMessage="1" error="Dữ liệu không hợp lệ! Vui lòng chọn trong danh sách" sqref="M3:N1048576" xr:uid="{00000000-0002-0000-0000-000009000000}">
      <formula1>"Đã cập nhật,Chưa cập nhật"</formula1>
    </dataValidation>
    <dataValidation type="list" allowBlank="1" showInputMessage="1" showErrorMessage="1" error="Dữ liệu không hợp lệ! Vui lòng chọn trong danh sách" sqref="G3:G1048576" xr:uid="{00000000-0002-0000-0000-00000A000000}">
      <formula1>"Đặt hàng,Tài trợ"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workbookViewId="0">
      <selection sqref="A1:E1"/>
    </sheetView>
  </sheetViews>
  <sheetFormatPr defaultRowHeight="15" x14ac:dyDescent="0.25"/>
  <cols>
    <col min="1" max="1" width="45" customWidth="1"/>
    <col min="2" max="2" width="25" customWidth="1"/>
    <col min="3" max="3" width="23.7109375" customWidth="1"/>
    <col min="4" max="5" width="23.28515625" style="9" customWidth="1"/>
    <col min="6" max="6" width="23.28515625" customWidth="1"/>
  </cols>
  <sheetData>
    <row r="1" spans="1:6" ht="30" customHeight="1" x14ac:dyDescent="0.25">
      <c r="A1" s="37" t="s">
        <v>112</v>
      </c>
      <c r="B1" s="35"/>
      <c r="C1" s="35"/>
      <c r="D1" s="38"/>
      <c r="E1" s="38"/>
    </row>
    <row r="3" spans="1:6" ht="24" customHeight="1" x14ac:dyDescent="0.25">
      <c r="A3" s="34" t="s">
        <v>113</v>
      </c>
      <c r="B3" s="35"/>
      <c r="C3" s="35"/>
    </row>
    <row r="4" spans="1:6" ht="21.95" customHeight="1" x14ac:dyDescent="0.25">
      <c r="A4" s="3" t="s">
        <v>114</v>
      </c>
      <c r="B4" s="4">
        <f>COUNTA(QUAN_LY_HO_SO!A3:A500)</f>
        <v>8</v>
      </c>
    </row>
    <row r="5" spans="1:6" ht="21.95" customHeight="1" x14ac:dyDescent="0.25">
      <c r="A5" s="3" t="s">
        <v>115</v>
      </c>
      <c r="B5" s="5">
        <f>SUM(QUAN_LY_HO_SO!V3:V500)</f>
        <v>6800000000</v>
      </c>
    </row>
    <row r="6" spans="1:6" ht="21.95" customHeight="1" x14ac:dyDescent="0.25">
      <c r="A6" s="3" t="s">
        <v>116</v>
      </c>
      <c r="B6" s="5">
        <f>SUM(QUAN_LY_HO_SO!X3:X500)</f>
        <v>4200000000</v>
      </c>
    </row>
    <row r="7" spans="1:6" ht="21.95" customHeight="1" x14ac:dyDescent="0.25">
      <c r="A7" s="3" t="s">
        <v>117</v>
      </c>
      <c r="B7" s="5">
        <f>SUM(QUAN_LY_HO_SO!Z3:Z500)</f>
        <v>2600000000</v>
      </c>
    </row>
    <row r="9" spans="1:6" ht="33" customHeight="1" x14ac:dyDescent="0.25">
      <c r="A9" s="36" t="s">
        <v>118</v>
      </c>
      <c r="B9" s="35"/>
      <c r="C9" s="35"/>
      <c r="D9" s="13" t="s">
        <v>119</v>
      </c>
      <c r="E9" s="14" t="s">
        <v>120</v>
      </c>
      <c r="F9" s="14" t="s">
        <v>121</v>
      </c>
    </row>
    <row r="10" spans="1:6" ht="20.100000000000001" customHeight="1" x14ac:dyDescent="0.25">
      <c r="A10" s="3" t="s">
        <v>122</v>
      </c>
      <c r="B10" s="6">
        <f>COUNTIF(QUAN_LY_HO_SO!$C$3:$C$500, "Khoa học tự nhiên")</f>
        <v>1</v>
      </c>
      <c r="D10" s="16">
        <f>SUMIF(QUAN_LY_HO_SO!$C$3:$C$504, "Khoa học tự nhiên", QUAN_LY_HO_SO!$V$3:$V$504)</f>
        <v>1200000000</v>
      </c>
      <c r="E10" s="16">
        <f>SUMIF(QUAN_LY_HO_SO!$C$3:$C$504, "Khoa học tự nhiên", QUAN_LY_HO_SO!$X$3:$X$504)</f>
        <v>600000000</v>
      </c>
      <c r="F10" s="16">
        <f>SUMIF(QUAN_LY_HO_SO!$C$3:$C$504, "Khoa học tự nhiên", QUAN_LY_HO_SO!$Z$3:$Z$504)</f>
        <v>600000000</v>
      </c>
    </row>
    <row r="11" spans="1:6" ht="20.100000000000001" customHeight="1" x14ac:dyDescent="0.25">
      <c r="A11" s="11" t="s">
        <v>123</v>
      </c>
      <c r="B11" s="6">
        <f>COUNTIF(QUAN_LY_HO_SO!$C$3:$C$500, "Khoa học kỹ thuật và công nghệ")</f>
        <v>3</v>
      </c>
      <c r="D11" s="16">
        <f>SUMIF(QUAN_LY_HO_SO!$C$3:$C$504, "Khoa học kỹ thuật và công nghệ", QUAN_LY_HO_SO!$V$3:$V$504)</f>
        <v>2600000000</v>
      </c>
      <c r="E11" s="16">
        <f>SUMIF(QUAN_LY_HO_SO!$C$3:$C$504, "Khoa học kỹ thuật và công nghệ", QUAN_LY_HO_SO!$X$3:$X$504)</f>
        <v>1800000000</v>
      </c>
      <c r="F11" s="16">
        <f>SUMIF(QUAN_LY_HO_SO!$C$3:$C$504, "Khoa học kỹ thuật và công nghệ", QUAN_LY_HO_SO!$Z$3:$Z$504)</f>
        <v>800000000</v>
      </c>
    </row>
    <row r="12" spans="1:6" ht="20.100000000000001" customHeight="1" x14ac:dyDescent="0.25">
      <c r="A12" s="11" t="s">
        <v>124</v>
      </c>
      <c r="B12" s="6">
        <f>COUNTIF(QUAN_LY_HO_SO!$C$3:$C$500, "Khoa học y, dược")</f>
        <v>0</v>
      </c>
      <c r="D12" s="16">
        <f>SUMIF(QUAN_LY_HO_SO!$C$3:$C$504, "Khoa học y, dược", QUAN_LY_HO_SO!$V$3:$V$504)</f>
        <v>0</v>
      </c>
      <c r="E12" s="16">
        <f>SUMIF(QUAN_LY_HO_SO!$C$3:$C$504, "Khoa học y, dược", QUAN_LY_HO_SO!$X$3:$X$504)</f>
        <v>0</v>
      </c>
      <c r="F12" s="16">
        <f>SUMIF(QUAN_LY_HO_SO!$C$3:$C$504, "Khoa học y, dược", QUAN_LY_HO_SO!$Z$3:$Z$504)</f>
        <v>0</v>
      </c>
    </row>
    <row r="13" spans="1:6" ht="20.100000000000001" customHeight="1" x14ac:dyDescent="0.25">
      <c r="A13" s="11" t="s">
        <v>125</v>
      </c>
      <c r="B13" s="6">
        <f>COUNTIF(QUAN_LY_HO_SO!$C$3:$C$500, "Khoa học nông nghiệp")</f>
        <v>2</v>
      </c>
      <c r="D13" s="16">
        <f>SUMIF(QUAN_LY_HO_SO!$C$3:$C$504, "Khoa học nông nghiệp", QUAN_LY_HO_SO!$V$3:$V$504)</f>
        <v>2200000000</v>
      </c>
      <c r="E13" s="16">
        <f>SUMIF(QUAN_LY_HO_SO!$C$3:$C$504, "Khoa học nông nghiệp", QUAN_LY_HO_SO!$X$3:$X$504)</f>
        <v>1400000000</v>
      </c>
      <c r="F13" s="16">
        <f>SUMIF(QUAN_LY_HO_SO!$C$3:$C$504, "Khoa học nông nghiệp", QUAN_LY_HO_SO!$Z$3:$Z$504)</f>
        <v>800000000</v>
      </c>
    </row>
    <row r="14" spans="1:6" ht="20.100000000000001" customHeight="1" x14ac:dyDescent="0.25">
      <c r="A14" s="11" t="s">
        <v>126</v>
      </c>
      <c r="B14" s="6">
        <f>COUNTIF(QUAN_LY_HO_SO!$C$3:$C$500, "Khoa học xã hội")</f>
        <v>1</v>
      </c>
      <c r="D14" s="16">
        <f>SUMIF(QUAN_LY_HO_SO!$C$3:$C$504, "Khoa học xã hội", QUAN_LY_HO_SO!$V$3:$V$504)</f>
        <v>500000000</v>
      </c>
      <c r="E14" s="16">
        <f>SUMIF(QUAN_LY_HO_SO!$C$3:$C$504, "Khoa học xã hội", QUAN_LY_HO_SO!$X$3:$X$504)</f>
        <v>300000000</v>
      </c>
      <c r="F14" s="16">
        <f>SUMIF(QUAN_LY_HO_SO!$C$3:$C$504, "Khoa học xã hội", QUAN_LY_HO_SO!$Z$3:$Z$504)</f>
        <v>200000000</v>
      </c>
    </row>
    <row r="15" spans="1:6" ht="20.100000000000001" customHeight="1" x14ac:dyDescent="0.25">
      <c r="A15" s="11" t="s">
        <v>127</v>
      </c>
      <c r="B15" s="6">
        <f>COUNTIF(QUAN_LY_HO_SO!$C$3:$C$500, "Khoa học nhân văn")</f>
        <v>0</v>
      </c>
      <c r="D15" s="16">
        <f>SUMIF(QUAN_LY_HO_SO!$C$3:$C$504, "Khoa học nhân văn", QUAN_LY_HO_SO!$V$3:$V$504)</f>
        <v>0</v>
      </c>
      <c r="E15" s="16">
        <f>SUMIF(QUAN_LY_HO_SO!$C$3:$C$504, "Khoa học nhân văn", QUAN_LY_HO_SO!$X$3:$X$504)</f>
        <v>0</v>
      </c>
      <c r="F15" s="16">
        <f>SUMIF(QUAN_LY_HO_SO!$C$3:$C$504, "Khoa học nhân văn", QUAN_LY_HO_SO!$Z$3:$Z$504)</f>
        <v>0</v>
      </c>
    </row>
    <row r="16" spans="1:6" ht="20.100000000000001" customHeight="1" x14ac:dyDescent="0.25">
      <c r="A16" s="11" t="s">
        <v>128</v>
      </c>
      <c r="B16" s="6">
        <f>COUNTIF(QUAN_LY_HO_SO!$C$3:$C$500, "Công nghệ chiến lược")</f>
        <v>1</v>
      </c>
      <c r="D16" s="16">
        <f>SUMIF(QUAN_LY_HO_SO!$C$3:$C$504, "Công nghệ chiến lược", QUAN_LY_HO_SO!$V$3:$V$504)</f>
        <v>300000000</v>
      </c>
      <c r="E16" s="16">
        <f>SUMIF(QUAN_LY_HO_SO!$C$3:$C$504, "Công nghệ chiến lược", QUAN_LY_HO_SO!$X$3:$X$504)</f>
        <v>100000000</v>
      </c>
      <c r="F16" s="16">
        <f>SUMIF(QUAN_LY_HO_SO!$C$3:$C$504, "Công nghệ chiến lược", QUAN_LY_HO_SO!$Z$3:$Z$504)</f>
        <v>200000000</v>
      </c>
    </row>
    <row r="17" spans="1:6" ht="20.100000000000001" customHeight="1" x14ac:dyDescent="0.25">
      <c r="A17" s="15"/>
      <c r="B17" s="12"/>
      <c r="D17" s="17"/>
      <c r="E17" s="17"/>
      <c r="F17" s="17"/>
    </row>
    <row r="18" spans="1:6" ht="30" customHeight="1" x14ac:dyDescent="0.25">
      <c r="A18" s="36" t="s">
        <v>129</v>
      </c>
      <c r="B18" s="35"/>
      <c r="C18" s="35"/>
      <c r="D18" s="13" t="s">
        <v>119</v>
      </c>
      <c r="E18" s="14" t="s">
        <v>120</v>
      </c>
      <c r="F18" s="14" t="s">
        <v>121</v>
      </c>
    </row>
    <row r="19" spans="1:6" x14ac:dyDescent="0.25">
      <c r="A19" s="11" t="s">
        <v>130</v>
      </c>
      <c r="B19" s="6">
        <f>COUNTIF(QUAN_LY_HO_SO!$D$3:$D$508, "Nghiên cứu cơ bản")</f>
        <v>1</v>
      </c>
      <c r="D19" s="16">
        <f>SUMIF(QUAN_LY_HO_SO!$D$3:$D$504, "Nghiên Cứu cơ bản", QUAN_LY_HO_SO!$V$3:$V$504)</f>
        <v>1200000000</v>
      </c>
      <c r="E19" s="16">
        <f>SUMIF(QUAN_LY_HO_SO!$D$3:$D$504, "Nghiên Cứu cơ bản", QUAN_LY_HO_SO!$X$3:$X$504)</f>
        <v>600000000</v>
      </c>
      <c r="F19" s="16">
        <f>SUMIF(QUAN_LY_HO_SO!$D$3:$D$504, "Nghiên Cứu cơ bản", QUAN_LY_HO_SO!$Z$3:$Z$504)</f>
        <v>600000000</v>
      </c>
    </row>
    <row r="20" spans="1:6" x14ac:dyDescent="0.25">
      <c r="A20" s="11" t="s">
        <v>131</v>
      </c>
      <c r="B20" s="6">
        <f>COUNTIF(QUAN_LY_HO_SO!$D$3:$D$509, "Nghiên cứu ứng dụng")</f>
        <v>3</v>
      </c>
      <c r="D20" s="16">
        <f>SUMIF(QUAN_LY_HO_SO!$D$3:$D$504, "Nghiên cứu ứng dụng", QUAN_LY_HO_SO!$V$3:$V$504)</f>
        <v>1900000000</v>
      </c>
      <c r="E20" s="16">
        <f>SUMIF(QUAN_LY_HO_SO!$D$3:$D$504, "Nghiên cứu ứng dụng", QUAN_LY_HO_SO!$X$3:$X$504)</f>
        <v>1300000000</v>
      </c>
      <c r="F20" s="16">
        <f>SUMIF(QUAN_LY_HO_SO!$D$3:$D$504, "Nghiên cứu ứng dụng", QUAN_LY_HO_SO!$Z$3:$Z$504)</f>
        <v>600000000</v>
      </c>
    </row>
    <row r="21" spans="1:6" x14ac:dyDescent="0.25">
      <c r="A21" s="11" t="s">
        <v>132</v>
      </c>
      <c r="B21" s="6">
        <f>COUNTIF(QUAN_LY_HO_SO!$D$3:$D$510, "Phát triển công nghệ")</f>
        <v>2</v>
      </c>
      <c r="D21" s="16">
        <f>SUMIF(QUAN_LY_HO_SO!$D$3:$D$504, "Phát triển công nghệ", QUAN_LY_HO_SO!$V$3:$V$504)</f>
        <v>2000000000</v>
      </c>
      <c r="E21" s="16">
        <f>SUMIF(QUAN_LY_HO_SO!$D$3:$D$504, "Phát triển công nghệ", QUAN_LY_HO_SO!$X$3:$X$504)</f>
        <v>1400000000</v>
      </c>
      <c r="F21" s="16">
        <f>SUMIF(QUAN_LY_HO_SO!$D$3:$D$504, "Phát triển công nghệ", QUAN_LY_HO_SO!$Z$3:$Z$504)</f>
        <v>600000000</v>
      </c>
    </row>
    <row r="22" spans="1:6" x14ac:dyDescent="0.25">
      <c r="A22" s="11" t="s">
        <v>133</v>
      </c>
      <c r="B22" s="6">
        <f>COUNTIF(QUAN_LY_HO_SO!$D$3:$D$511, "Phát triển giải pháp xã hội")</f>
        <v>1</v>
      </c>
      <c r="D22" s="16">
        <f>SUMIF(QUAN_LY_HO_SO!$D$3:$D$504, "Phát triển giải pháp xã hội", QUAN_LY_HO_SO!$V$3:$V$504)</f>
        <v>500000000</v>
      </c>
      <c r="E22" s="16">
        <f>SUMIF(QUAN_LY_HO_SO!$D$3:$D$504, "Phát triển giải pháp xã hội", QUAN_LY_HO_SO!$X$3:$X$504)</f>
        <v>300000000</v>
      </c>
      <c r="F22" s="16">
        <f>SUMIF(QUAN_LY_HO_SO!$D$3:$D$504, "Phát triển giải pháp xã hội", QUAN_LY_HO_SO!$Z$3:$Z$504)</f>
        <v>200000000</v>
      </c>
    </row>
    <row r="23" spans="1:6" x14ac:dyDescent="0.25">
      <c r="A23" s="15"/>
      <c r="B23" s="12"/>
    </row>
    <row r="24" spans="1:6" ht="24" customHeight="1" x14ac:dyDescent="0.25">
      <c r="A24" s="36" t="s">
        <v>134</v>
      </c>
      <c r="B24" s="35"/>
      <c r="C24" s="35"/>
    </row>
    <row r="25" spans="1:6" ht="20.100000000000001" customHeight="1" x14ac:dyDescent="0.25">
      <c r="A25" s="3" t="s">
        <v>135</v>
      </c>
      <c r="B25" s="6">
        <f>COUNTIF(QUAN_LY_HO_SO!$O$3:$O$500, "*Nhân tài*")</f>
        <v>3</v>
      </c>
    </row>
    <row r="26" spans="1:6" ht="20.100000000000001" customHeight="1" x14ac:dyDescent="0.25">
      <c r="A26" s="3" t="s">
        <v>136</v>
      </c>
      <c r="B26" s="6">
        <f>COUNTIF(QUAN_LY_HO_SO!$O$3:$O$500, "*trẻ tài năng*")</f>
        <v>2</v>
      </c>
    </row>
    <row r="27" spans="1:6" ht="20.100000000000001" customHeight="1" x14ac:dyDescent="0.25">
      <c r="A27" s="3" t="s">
        <v>137</v>
      </c>
      <c r="B27" s="6">
        <f>COUNTIF(QUAN_LY_HO_SO!$O$3:$O$500, "Không thuộc hai trường hợp trên")</f>
        <v>3</v>
      </c>
    </row>
    <row r="29" spans="1:6" ht="24" customHeight="1" x14ac:dyDescent="0.25">
      <c r="A29" s="36" t="s">
        <v>138</v>
      </c>
      <c r="B29" s="35"/>
      <c r="C29" s="35"/>
    </row>
    <row r="30" spans="1:6" ht="20.100000000000001" customHeight="1" x14ac:dyDescent="0.25">
      <c r="A30" s="3" t="s">
        <v>139</v>
      </c>
      <c r="B30" s="6">
        <f>COUNTIFS(QUAN_LY_HO_SO!$M$3:$M$500, "Đã cập nhật", QUAN_LY_HO_SO!$N$3:$N$500, "Đã cập nhật", QUAN_LY_HO_SO!$U$3:$U$500, "Đã cập nhật")</f>
        <v>6</v>
      </c>
    </row>
    <row r="31" spans="1:6" ht="20.100000000000001" customHeight="1" x14ac:dyDescent="0.25">
      <c r="A31" s="3" t="s">
        <v>140</v>
      </c>
      <c r="B31" s="6">
        <f>COUNTA(QUAN_LY_HO_SO!$A$3:$A$500) - B30</f>
        <v>2</v>
      </c>
    </row>
    <row r="33" spans="1:3" ht="24" customHeight="1" x14ac:dyDescent="0.25">
      <c r="A33" s="36" t="s">
        <v>141</v>
      </c>
      <c r="B33" s="35"/>
      <c r="C33" s="35"/>
    </row>
    <row r="34" spans="1:3" x14ac:dyDescent="0.25">
      <c r="A34" s="11" t="s">
        <v>142</v>
      </c>
      <c r="B34" s="6">
        <f>COUNTIF(QUAN_LY_HO_SO!$E$3:$E$508, "Nhiệm vụ")</f>
        <v>5</v>
      </c>
    </row>
    <row r="35" spans="1:3" x14ac:dyDescent="0.25">
      <c r="A35" s="11" t="s">
        <v>143</v>
      </c>
      <c r="B35" s="6">
        <f>COUNTIF(QUAN_LY_HO_SO!$E$3:$E$508, "Cụm nhiệm vụ")</f>
        <v>1</v>
      </c>
    </row>
    <row r="36" spans="1:3" x14ac:dyDescent="0.25">
      <c r="A36" s="11" t="s">
        <v>144</v>
      </c>
      <c r="B36" s="6">
        <f>COUNTIF(QUAN_LY_HO_SO!$E$3:$E$508, "Chuỗi nhiệm vụ")</f>
        <v>2</v>
      </c>
    </row>
    <row r="38" spans="1:3" x14ac:dyDescent="0.25">
      <c r="A38" s="36" t="s">
        <v>145</v>
      </c>
      <c r="B38" s="35"/>
      <c r="C38" s="35"/>
    </row>
    <row r="39" spans="1:3" x14ac:dyDescent="0.25">
      <c r="A39" s="11" t="s">
        <v>146</v>
      </c>
      <c r="B39" s="6">
        <f>COUNTIF(QUAN_LY_HO_SO!$F$3:$F$508, "Thực hiện theo hình thức liên kết")</f>
        <v>4</v>
      </c>
    </row>
    <row r="40" spans="1:3" x14ac:dyDescent="0.25">
      <c r="A40" s="11" t="s">
        <v>147</v>
      </c>
      <c r="B40" s="6">
        <f>COUNTIF(QUAN_LY_HO_SO!$F$3:$F$508, "Thực hiện theo hình thức hợp tác công tư")</f>
        <v>2</v>
      </c>
    </row>
    <row r="41" spans="1:3" x14ac:dyDescent="0.25">
      <c r="A41" s="11" t="s">
        <v>148</v>
      </c>
      <c r="B41" s="6">
        <f>COUNTIF(QUAN_LY_HO_SO!$F$3:$F$508, "Không thuộc 02 trường hợp trên")</f>
        <v>2</v>
      </c>
    </row>
    <row r="43" spans="1:3" x14ac:dyDescent="0.25">
      <c r="A43" s="36" t="s">
        <v>149</v>
      </c>
      <c r="B43" s="35"/>
      <c r="C43" s="35"/>
    </row>
    <row r="44" spans="1:3" x14ac:dyDescent="0.25">
      <c r="A44" s="11" t="s">
        <v>150</v>
      </c>
      <c r="B44" s="6">
        <f>COUNTIF(QUAN_LY_HO_SO!$G$3:$G$508, "Đặt hàng")</f>
        <v>5</v>
      </c>
    </row>
    <row r="45" spans="1:3" x14ac:dyDescent="0.25">
      <c r="A45" s="11" t="s">
        <v>151</v>
      </c>
      <c r="B45" s="6">
        <f>COUNTIF(QUAN_LY_HO_SO!$G$3:$G$508, "Tài trợ")</f>
        <v>3</v>
      </c>
    </row>
    <row r="47" spans="1:3" x14ac:dyDescent="0.25">
      <c r="A47" s="36" t="s">
        <v>152</v>
      </c>
      <c r="B47" s="35"/>
      <c r="C47" s="35"/>
    </row>
    <row r="48" spans="1:3" x14ac:dyDescent="0.25">
      <c r="A48" s="11" t="s">
        <v>153</v>
      </c>
      <c r="B48" s="6">
        <f>COUNTIF(QUAN_LY_HO_SO!$Q$3:$Q$508, "Giáo sư")</f>
        <v>3</v>
      </c>
    </row>
    <row r="49" spans="1:3" x14ac:dyDescent="0.25">
      <c r="A49" s="11" t="s">
        <v>154</v>
      </c>
      <c r="B49" s="6">
        <f>COUNTIF(QUAN_LY_HO_SO!$Q$3:$Q$508,"Phó Giáo sư")</f>
        <v>2</v>
      </c>
    </row>
    <row r="50" spans="1:3" x14ac:dyDescent="0.25">
      <c r="A50" s="11" t="s">
        <v>155</v>
      </c>
      <c r="B50" s="6">
        <f>COUNTIF(QUAN_LY_HO_SO!$Q$3:$Q$508, "Tiến sĩ")</f>
        <v>0</v>
      </c>
    </row>
    <row r="51" spans="1:3" x14ac:dyDescent="0.25">
      <c r="A51" s="11" t="s">
        <v>156</v>
      </c>
      <c r="B51" s="6">
        <f>COUNTIF(QUAN_LY_HO_SO!$Q$3:$Q$508, "Thạc sĩ")</f>
        <v>2</v>
      </c>
    </row>
    <row r="52" spans="1:3" x14ac:dyDescent="0.25">
      <c r="A52" s="11" t="s">
        <v>157</v>
      </c>
      <c r="B52" s="6">
        <f>COUNTIF(QUAN_LY_HO_SO!$Q$3:$Q$508, "Cử nhân")</f>
        <v>1</v>
      </c>
    </row>
    <row r="54" spans="1:3" x14ac:dyDescent="0.25">
      <c r="A54" s="34" t="s">
        <v>158</v>
      </c>
      <c r="B54" s="35"/>
      <c r="C54" s="35"/>
    </row>
    <row r="55" spans="1:3" x14ac:dyDescent="0.25">
      <c r="A55" s="3" t="s">
        <v>159</v>
      </c>
      <c r="B55" s="6">
        <f>COUNTIF(QUAN_LY_HO_SO!$AG$3:$AG$508, "Đang xét")</f>
        <v>5</v>
      </c>
    </row>
    <row r="56" spans="1:3" x14ac:dyDescent="0.25">
      <c r="A56" s="3" t="s">
        <v>160</v>
      </c>
      <c r="B56" s="6">
        <f>COUNTIF(QUAN_LY_HO_SO!$AG$3:$AG$508, "Đang thực hiện")</f>
        <v>3</v>
      </c>
    </row>
    <row r="57" spans="1:3" x14ac:dyDescent="0.25">
      <c r="A57" s="3" t="s">
        <v>161</v>
      </c>
      <c r="B57" s="6">
        <f>COUNTIF(QUAN_LY_HO_SO!$AG$3:$AG$508, "Đã hoàn thành")</f>
        <v>0</v>
      </c>
    </row>
  </sheetData>
  <mergeCells count="11">
    <mergeCell ref="A1:E1"/>
    <mergeCell ref="A3:C3"/>
    <mergeCell ref="A24:C24"/>
    <mergeCell ref="A29:C29"/>
    <mergeCell ref="A43:C43"/>
    <mergeCell ref="A38:C38"/>
    <mergeCell ref="A54:C54"/>
    <mergeCell ref="A33:C33"/>
    <mergeCell ref="A47:C47"/>
    <mergeCell ref="A9:C9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QUAN_LY_HO_SO</vt:lpstr>
      <vt:lpstr>BAO_CAO_TONG_HOP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dat</cp:lastModifiedBy>
  <dcterms:created xsi:type="dcterms:W3CDTF">2026-09-29T08:42:23Z</dcterms:created>
  <dcterms:modified xsi:type="dcterms:W3CDTF">2026-10-01T07:39:33Z</dcterms:modified>
</cp:coreProperties>
</file>